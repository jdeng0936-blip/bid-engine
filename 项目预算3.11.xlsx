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<sst xmlns="http://schemas.openxmlformats.org/spreadsheetml/2006/main" count="246" uniqueCount="152">
  <si>
    <t>序号</t>
  </si>
  <si>
    <t>费用名称</t>
  </si>
  <si>
    <t>规格型号</t>
  </si>
  <si>
    <t>单位</t>
  </si>
  <si>
    <t>预算单价</t>
  </si>
  <si>
    <t>备注</t>
  </si>
  <si>
    <t>数量</t>
  </si>
  <si>
    <t>工作量
（人/天）</t>
  </si>
  <si>
    <t>单价
（元）</t>
  </si>
  <si>
    <t>金额
（元）</t>
  </si>
  <si>
    <t>一</t>
  </si>
  <si>
    <t>软件开发费用</t>
  </si>
  <si>
    <t>项</t>
  </si>
  <si>
    <t>（一）</t>
  </si>
  <si>
    <t>政策管理</t>
  </si>
  <si>
    <t>行政区划录入模块开发</t>
  </si>
  <si>
    <t>煤矿智能化建设条件分类评价指标体系录入模块开发</t>
  </si>
  <si>
    <t>录入选定行政区划的分类指标及各指标下的选项</t>
  </si>
  <si>
    <t>煤矿智能化建设条件权重累加模型与自动分类算法研发</t>
  </si>
  <si>
    <t>煤矿智能化分级评价指标体系录入功能开发</t>
  </si>
  <si>
    <t>在选定分类的情况下，录入该分类的分级评价指标体系，包含各系统、指标、分项、总分、均分等。录入前，需要通过对政策的解读，拆分出指标的评分细则及其分项目。</t>
  </si>
  <si>
    <t>煤矿智能化建设分级评价指标体系多级权重累加模型与自动评分算法研发</t>
  </si>
  <si>
    <t>同一系统中，考核项和加分项的权重其实也不同，所以会构成多级权重模型。不同的评分细则，会有不同的评分标准。需根据评分标准建立对应的计算模型。
各系统单独评分、汇总。
需要特别注意不涉及内容的分值折算、可选项的计分算法</t>
  </si>
  <si>
    <t>（二）</t>
  </si>
  <si>
    <t>设计菜单</t>
  </si>
  <si>
    <t>设备类型及动态设备规格模版维护功能开发</t>
  </si>
  <si>
    <t>建立设备类型、子类型。不同的设备类型关注的设备属性、选配配件及功能会有所不同，所以此处建立的规格模版是一个动态模版</t>
  </si>
  <si>
    <t>设备、厂商、型号、参数、报价模块开发</t>
  </si>
  <si>
    <t>在设备类型下新增设备，通过模版录入设备参数，选择设备是否具备可选配的配件/功能。由于设备类型的设备规格模版是动态的，所以此处实际的设备参数、功能天然也是动态的。</t>
  </si>
  <si>
    <t>建设内容及建设可行性标准 DSL 模型研发</t>
  </si>
  <si>
    <t>进行建设可行性基础 DSL 模型研发，提供应该建设、可建设、可不建设、不建设四种可行性标准。模型需提供动态集成接口，不同的模块可实现接口，作为可行性判据</t>
  </si>
  <si>
    <t>建设可行性标准前端 DSL 录入组件研发</t>
  </si>
  <si>
    <t>前端需依托建设可行性的 DSL 模型，研发特有的可行性判据录入组件。组件可通过点选的方式，选择内置的建设可行性判据指标，或手动输入参数，构建可行性标准。每一个标准都对应唯一的可行性结果</t>
  </si>
  <si>
    <t>项目基本信息与建设可行性标准 DSL 组件集成开发</t>
  </si>
  <si>
    <t>将项目基本信息作为建设可行性判据的一部分，提供相关的 DSL 函数，支持录入建设可行性时将相关信息作为判据</t>
  </si>
  <si>
    <t>煤矿智能化建设条件分类评价指标体系、分类结果与建设可行性标准 DSL 组件集成开发</t>
  </si>
  <si>
    <t>将煤矿智能化建设条件分类评价指标体系与分类结果，支持录入建设可行性时将相关指标与结果作为判据</t>
  </si>
  <si>
    <t>煤矿智能化分级评价指标体系与建设可行性标准 DSL 组件集成开发</t>
  </si>
  <si>
    <t>将煤矿智能化分级评价指标体系、分级结果，支持录入建设可行性时将相关指标与结果作为判据</t>
  </si>
  <si>
    <t>煤矿智能化现状、煤矿智能化等级与建设可行性标准 DSL 组件集成开发</t>
  </si>
  <si>
    <t>此处不与煤矿智能化分级评价指标体系集成类似，但 DSL 的命名空间不同。煤矿智能化分级评价指标体系的命名空间为政策相关，此处命名 空间为煤矿。</t>
  </si>
  <si>
    <t>设备选型依据 DSL 模型研发</t>
  </si>
  <si>
    <t>进行设备选型依据基础 DSL 模型研发，在建设内容有标配、中配、高配三种配置，每种配置下单独提供应该配置、可选配、可不选配三种选型标准。模型需提供动态集成接口，不同的模块可实现接口，作为选型依据。此处天然需要将设备类型、设备管理与建设内容模块进行集成</t>
  </si>
  <si>
    <t>建设内容建设可行性前端 DSL 录入组件研发</t>
  </si>
  <si>
    <t>项目基本信息与设备选型依据 DSL 组件集成开发</t>
  </si>
  <si>
    <t>煤矿智能化建设条件分类评价指标体系、分类结果与设备选型依据 DSL 组件集成开发</t>
  </si>
  <si>
    <t>煤矿智能化分级评价指标体系与设备选型依据 DSL 组件集成开发</t>
  </si>
  <si>
    <t>除了作为判据外，还需要将各分项作与最终结果集，以说明选择的设备集可满足哪些分项</t>
  </si>
  <si>
    <t>煤矿智能化现状与设备选型依据 DSL 组件集成开发</t>
  </si>
  <si>
    <t>（四）</t>
  </si>
  <si>
    <t>项目管理模块开发</t>
  </si>
  <si>
    <t>项目信息低代码模型研发</t>
  </si>
  <si>
    <t>项目基础信息包含矿井基本信息及其它附属信息。这些信息可以作为设备选型时的依据。所以，需要借助低代码模型的动态性将这些属性拆分出来，使其能作为动态模版片段及设备选型判据</t>
  </si>
  <si>
    <t>项目基础信息录入与查询模块开发</t>
  </si>
  <si>
    <t>基于低代码模型动态构建页面。</t>
  </si>
  <si>
    <t>基于煤矿智能化建设条件分类评价指标体系的低代码模型研发</t>
  </si>
  <si>
    <t>根据矿井所属行政区划，确定矿井智能化分类评价指标体系，据此建立不同行政区划的动态表单。同时，建设条件也会作为设备选型时的判据，所以也要候检低代码模型。</t>
  </si>
  <si>
    <t>煤矿智能化建设条件录入与查询模块开发</t>
  </si>
  <si>
    <t>煤矿地质条件及智能化建设条件类别持久化模型开发</t>
  </si>
  <si>
    <t>直接录入已知的智能化建设条件分类功能开发</t>
  </si>
  <si>
    <t>此处主要是有些煤矿可能设计人员已经知道分类了，就不想再录入。待定项，此处不进行录入的话，后续无法拿到该项的地质条件</t>
  </si>
  <si>
    <t>煤矿智能化现状低代码模型研发</t>
  </si>
  <si>
    <t>根据煤矿智能化建设条件类别，确定矿井分级评价指标体系，根据不同系统、评分细则、分项建立动态表单。
此处与分类条件类似，也需要作为设备选型判据的内容拆分出来。但比分类条件更加复杂。因为分类条件都是必选项，而这儿还需要考虑选择的内容与分级评价指标体系的匹配问题。
在系统考核评分中，会有不涉及该内容的选型，在交互要特别注意，在逻辑上要特殊处理。</t>
  </si>
  <si>
    <t>煤矿智能化现状录入模块开发</t>
  </si>
  <si>
    <t>不同于分类评价指标体系，分级评价指标体系本身分了多个系统，且每个系统又细分了诸多分项。不能采用单页面一次性录入的方式。需要在交互上仔细考虑，采用分步引导、中间态暂存或多模块折叠展示录入的解决方案</t>
  </si>
  <si>
    <t>煤矿智能化现状、煤矿智能化分级评价指标体系评分模型与建设可行性标准 DSL 自动评分、分级、生成现状分析报告的模型与算法研发</t>
  </si>
  <si>
    <t>在 DSL 集成的基础上，考虑后续要根据矿方反馈进行调整。所以此处要单独建模、存储。该模型可作为最终方案生成的中间态。</t>
  </si>
  <si>
    <t>煤矿智能化现状分析报告 Web 查询模块开发</t>
  </si>
  <si>
    <t>和录入模块类似的问题，此处本身涉及的数据量、展示的页面复杂度、展示上的交互都需要单独考虑。如果采用中间态暂存的方案，还需要考虑查询和录入混合展示的问题。将现状与分级评价指标进行匹配，按照系统、行合并、列合并渲染成 Web 端的动态表格</t>
  </si>
  <si>
    <t>直接生成推荐方案的线性规划与动态回归模型、算法研发</t>
  </si>
  <si>
    <t>基于现状分析报告，实际已经有了一个基础的方案选择范围。但这个范围还有很大的比选空间。依据这个选择范围，进行动态规划。线性求解计算最优解，其中包含各子系统的最优解，所有子系统的最优解，就是整个方案的最优解。此处需要考虑建设内容的可选项及现状已经获取的分值。</t>
  </si>
  <si>
    <t>按照投资估算生成推荐方案的多约束线性规划与动态回归模型、算法研发</t>
  </si>
  <si>
    <t>与直接生成推荐方案类似，但不同点在于，需要根据投资估算，确定各系统满足条件情况下的可选方案及最优解。同时，还要明确各系统的最优解，是否是整个建设方案的最优解。</t>
  </si>
  <si>
    <t>按照预设等级生成推荐方案的多约束线性规划与动态回归模型、算法研发</t>
  </si>
  <si>
    <t>与直接生成推荐方案也类似。但不同点在与，这儿推荐的方案需要增加预设等级的约束。同时，预设等级的约束也会对设备选型造成影响。所以，需要满足各子系统都满足预设等级及其政策要求，且整体方案满足预设等级及其政策要求</t>
  </si>
  <si>
    <t>推荐方案查询模块</t>
  </si>
  <si>
    <t>此处与现状分析报告的查询类似，但比现状分析报告更加复杂。此处的数据更多、且涉及到设备。</t>
  </si>
  <si>
    <t>（五）</t>
  </si>
  <si>
    <t>身份鉴权模块开发</t>
  </si>
  <si>
    <t>用户登录注销模块开发</t>
  </si>
  <si>
    <t>小计</t>
  </si>
  <si>
    <t>二</t>
  </si>
  <si>
    <t>出版/文献/知识产权事务费等</t>
  </si>
  <si>
    <t>专利费</t>
  </si>
  <si>
    <t>申请基于多判据的煤矿智能化快速建模与设计方面专利2项。</t>
  </si>
  <si>
    <t>软件著作权费</t>
  </si>
  <si>
    <t>在煤矿智能化设计、管理等方面申请软件著作权4项。</t>
  </si>
  <si>
    <t>合计 (一+二)</t>
  </si>
  <si>
    <r>
      <rPr>
        <sz val="12"/>
        <color rgb="FF000000"/>
        <rFont val="仿宋"/>
        <charset val="134"/>
      </rPr>
      <t>序号</t>
    </r>
  </si>
  <si>
    <r>
      <rPr>
        <sz val="12"/>
        <color rgb="FF000000"/>
        <rFont val="仿宋"/>
        <charset val="134"/>
      </rPr>
      <t>费用名称</t>
    </r>
  </si>
  <si>
    <r>
      <rPr>
        <sz val="12"/>
        <color rgb="FF000000"/>
        <rFont val="仿宋"/>
        <charset val="134"/>
      </rPr>
      <t>单位</t>
    </r>
  </si>
  <si>
    <r>
      <rPr>
        <sz val="12"/>
        <color rgb="FF000000"/>
        <rFont val="仿宋"/>
        <charset val="134"/>
      </rPr>
      <t>预算单价</t>
    </r>
  </si>
  <si>
    <t>工作量（人/天）</t>
  </si>
  <si>
    <t>单价（元）</t>
  </si>
  <si>
    <t>金额（元）</t>
  </si>
  <si>
    <r>
      <rPr>
        <sz val="12"/>
        <color rgb="FF000000"/>
        <rFont val="仿宋"/>
        <charset val="134"/>
      </rPr>
      <t>一</t>
    </r>
  </si>
  <si>
    <r>
      <rPr>
        <sz val="12"/>
        <color rgb="FF000000"/>
        <rFont val="仿宋"/>
        <charset val="134"/>
      </rPr>
      <t>软件开发费用</t>
    </r>
  </si>
  <si>
    <r>
      <rPr>
        <sz val="12"/>
        <color rgb="FF000000"/>
        <rFont val="仿宋"/>
        <charset val="134"/>
      </rPr>
      <t>项</t>
    </r>
  </si>
  <si>
    <r>
      <rPr>
        <sz val="12"/>
        <color rgb="FF000000"/>
        <rFont val="仿宋"/>
        <charset val="134"/>
      </rPr>
      <t>（一）</t>
    </r>
  </si>
  <si>
    <r>
      <rPr>
        <sz val="12"/>
        <color rgb="FF000000"/>
        <rFont val="仿宋"/>
        <charset val="134"/>
      </rPr>
      <t>政策管理</t>
    </r>
  </si>
  <si>
    <r>
      <rPr>
        <sz val="12"/>
        <color rgb="FF000000"/>
        <rFont val="仿宋"/>
        <charset val="134"/>
      </rPr>
      <t>行政区划录入接口开发</t>
    </r>
  </si>
  <si>
    <r>
      <rPr>
        <sz val="12"/>
        <color rgb="FF000000"/>
        <rFont val="仿宋"/>
        <charset val="134"/>
      </rPr>
      <t>煤矿智能化建设条件分类评价指标体系录入接口开发</t>
    </r>
  </si>
  <si>
    <r>
      <rPr>
        <sz val="12"/>
        <color rgb="FF000000"/>
        <rFont val="仿宋"/>
        <charset val="134"/>
      </rPr>
      <t>煤矿智能化建设条件权重累加模型与自动分类算法研发</t>
    </r>
  </si>
  <si>
    <r>
      <rPr>
        <sz val="12"/>
        <color rgb="FF000000"/>
        <rFont val="仿宋"/>
        <charset val="134"/>
      </rPr>
      <t>煤矿智能化建设条件分级评价指标体系录入接口开发</t>
    </r>
  </si>
  <si>
    <r>
      <rPr>
        <sz val="12"/>
        <color rgb="FF000000"/>
        <rFont val="仿宋"/>
        <charset val="134"/>
      </rPr>
      <t>（二）</t>
    </r>
  </si>
  <si>
    <r>
      <rPr>
        <sz val="12"/>
        <color rgb="FF000000"/>
        <rFont val="仿宋"/>
        <charset val="134"/>
      </rPr>
      <t>设计菜单</t>
    </r>
  </si>
  <si>
    <r>
      <rPr>
        <sz val="12"/>
        <color rgb="FF000000"/>
        <rFont val="仿宋"/>
        <charset val="134"/>
      </rPr>
      <t>建设可行性 EL 模型研发</t>
    </r>
  </si>
  <si>
    <r>
      <rPr>
        <sz val="12"/>
        <color rgb="FF000000"/>
        <rFont val="仿宋"/>
        <charset val="134"/>
      </rPr>
      <t>项目基本信息与建设可行性 EL 组件集成开发</t>
    </r>
  </si>
  <si>
    <r>
      <rPr>
        <sz val="12"/>
        <color rgb="FF000000"/>
        <rFont val="仿宋"/>
        <charset val="134"/>
      </rPr>
      <t>煤矿智能化建设条件分类评价指标体系、分类结果与建设可行性标准 EL 组件集成开发</t>
    </r>
  </si>
  <si>
    <r>
      <rPr>
        <sz val="12"/>
        <color rgb="FF000000"/>
        <rFont val="仿宋"/>
        <charset val="134"/>
      </rPr>
      <t>煤矿智能化分级评价指标体系与建设可行性标准 EL 组件集成开发</t>
    </r>
  </si>
  <si>
    <r>
      <rPr>
        <sz val="12"/>
        <color rgb="FF000000"/>
        <rFont val="仿宋"/>
        <charset val="134"/>
      </rPr>
      <t>煤矿智能化现状、煤矿智能化等级与建设可行性标准 EL 组件集成开发</t>
    </r>
  </si>
  <si>
    <r>
      <rPr>
        <sz val="12"/>
        <color rgb="FF000000"/>
        <rFont val="仿宋"/>
        <charset val="134"/>
      </rPr>
      <t>建设方案设备清单模型开发</t>
    </r>
  </si>
  <si>
    <r>
      <rPr>
        <sz val="12"/>
        <color rgb="FF000000"/>
        <rFont val="仿宋"/>
        <charset val="134"/>
      </rPr>
      <t>建设方案内容模块开发</t>
    </r>
  </si>
  <si>
    <r>
      <rPr>
        <sz val="12"/>
        <color rgb="FF000000"/>
        <rFont val="仿宋"/>
        <charset val="134"/>
      </rPr>
      <t>（三）</t>
    </r>
  </si>
  <si>
    <r>
      <rPr>
        <sz val="12"/>
        <color rgb="FF000000"/>
        <rFont val="仿宋"/>
        <charset val="134"/>
      </rPr>
      <t>方案模版</t>
    </r>
  </si>
  <si>
    <r>
      <rPr>
        <sz val="12"/>
        <color rgb="FF000000"/>
        <rFont val="仿宋"/>
        <charset val="134"/>
      </rPr>
      <t>方案模版 Word 编辑模块研发</t>
    </r>
  </si>
  <si>
    <r>
      <rPr>
        <sz val="12"/>
        <color rgb="FF000000"/>
        <rFont val="仿宋"/>
        <charset val="134"/>
      </rPr>
      <t>方案模版 DSL 模型适配实时传输协议的后端算法研发</t>
    </r>
  </si>
  <si>
    <r>
      <rPr>
        <sz val="12"/>
        <color rgb="FF000000"/>
        <rFont val="仿宋"/>
        <charset val="134"/>
      </rPr>
      <t>方案模版与对象存储集成开发</t>
    </r>
  </si>
  <si>
    <r>
      <rPr>
        <sz val="12"/>
        <color rgb="FF000000"/>
        <rFont val="仿宋"/>
        <charset val="134"/>
      </rPr>
      <t>方案模版 Word 与多判据混排 DSL 模型研发</t>
    </r>
  </si>
  <si>
    <r>
      <rPr>
        <sz val="12"/>
        <color rgb="FF000000"/>
        <rFont val="仿宋"/>
        <charset val="134"/>
      </rPr>
      <t xml:space="preserve">方案模版 </t>
    </r>
    <r>
      <rPr>
        <sz val="12"/>
        <color rgb="FF000000"/>
        <rFont val="仿宋"/>
        <charset val="134"/>
      </rPr>
      <t xml:space="preserve"> </t>
    </r>
    <r>
      <rPr>
        <sz val="12"/>
        <color rgb="FF000000"/>
        <rFont val="仿宋"/>
        <charset val="134"/>
      </rPr>
      <t>DSL 模型转 DSL 的后端算法研发</t>
    </r>
  </si>
  <si>
    <r>
      <rPr>
        <sz val="12"/>
        <color rgb="FF000000"/>
        <rFont val="仿宋"/>
        <charset val="134"/>
      </rPr>
      <t>项目基本信息与方案模版 DSL 组件集成开发</t>
    </r>
  </si>
  <si>
    <r>
      <rPr>
        <sz val="12"/>
        <color rgb="FF000000"/>
        <rFont val="仿宋"/>
        <charset val="134"/>
      </rPr>
      <t>煤矿智能化建设条件分类评价指标体系、分类结果与方案模版 DSL 组件集成开发</t>
    </r>
  </si>
  <si>
    <r>
      <rPr>
        <sz val="12"/>
        <color rgb="FF000000"/>
        <rFont val="仿宋"/>
        <charset val="134"/>
      </rPr>
      <t>煤矿智能化分级指标体系、分级结果与方案模版 DSL 组件集成开发</t>
    </r>
  </si>
  <si>
    <r>
      <rPr>
        <sz val="12"/>
        <color rgb="FF000000"/>
        <rFont val="仿宋"/>
        <charset val="134"/>
      </rPr>
      <t>煤矿智能化现状、煤矿智能化等级与方案模版 DSL 组件集成开发</t>
    </r>
  </si>
  <si>
    <r>
      <rPr>
        <sz val="12"/>
        <color rgb="FF000000"/>
        <rFont val="仿宋"/>
        <charset val="134"/>
      </rPr>
      <t>方案比选结果、建设目标、投资估算等与 DSL 组件集成开发</t>
    </r>
  </si>
  <si>
    <r>
      <rPr>
        <sz val="12"/>
        <color rgb="FF000000"/>
        <rFont val="仿宋"/>
        <charset val="134"/>
      </rPr>
      <t>（四）</t>
    </r>
  </si>
  <si>
    <r>
      <rPr>
        <sz val="12"/>
        <color rgb="FF000000"/>
        <rFont val="仿宋"/>
        <charset val="134"/>
      </rPr>
      <t>项目管理模块开发</t>
    </r>
  </si>
  <si>
    <r>
      <rPr>
        <sz val="12"/>
        <color rgb="FF000000"/>
        <rFont val="仿宋"/>
        <charset val="134"/>
      </rPr>
      <t>项目信息低代码模型研发</t>
    </r>
  </si>
  <si>
    <r>
      <rPr>
        <sz val="12"/>
        <color rgb="FF000000"/>
        <rFont val="仿宋"/>
        <charset val="134"/>
      </rPr>
      <t>项目基础信息录入与查询模块开发</t>
    </r>
  </si>
  <si>
    <r>
      <rPr>
        <sz val="12"/>
        <color rgb="FF000000"/>
        <rFont val="仿宋"/>
        <charset val="134"/>
      </rPr>
      <t>基于煤矿智能化建设条件分类评价指标体系的低代码模型研发</t>
    </r>
  </si>
  <si>
    <r>
      <rPr>
        <sz val="12"/>
        <color rgb="FF000000"/>
        <rFont val="仿宋"/>
        <charset val="134"/>
      </rPr>
      <t>煤矿智能化建设条件录入与查询模块开发</t>
    </r>
  </si>
  <si>
    <r>
      <rPr>
        <sz val="12"/>
        <color rgb="FF000000"/>
        <rFont val="仿宋"/>
        <charset val="134"/>
      </rPr>
      <t>煤矿智能化现状低代码模型研发</t>
    </r>
  </si>
  <si>
    <r>
      <rPr>
        <sz val="12"/>
        <color rgb="FF000000"/>
        <rFont val="仿宋"/>
        <charset val="134"/>
      </rPr>
      <t>煤矿智能化现状录入模块开发</t>
    </r>
  </si>
  <si>
    <r>
      <rPr>
        <sz val="12"/>
        <color rgb="FF000000"/>
        <rFont val="仿宋"/>
        <charset val="134"/>
      </rPr>
      <t>煤矿智能化现状、煤矿智能化分级评价指标体系评分模型与建设可行性标准 DSL 自动评分、分级、生成现状分析报告的模型与算法研发</t>
    </r>
  </si>
  <si>
    <r>
      <rPr>
        <sz val="12"/>
        <color rgb="FF000000"/>
        <rFont val="仿宋"/>
        <charset val="134"/>
      </rPr>
      <t>煤矿智能化现状分析报告 Web 查询模块开发</t>
    </r>
  </si>
  <si>
    <r>
      <rPr>
        <sz val="12"/>
        <color rgb="FF000000"/>
        <rFont val="仿宋"/>
        <charset val="134"/>
      </rPr>
      <t>煤矿智能化现状分析报告打印</t>
    </r>
  </si>
  <si>
    <r>
      <rPr>
        <sz val="12"/>
        <color rgb="FF000000"/>
        <rFont val="仿宋"/>
        <charset val="134"/>
      </rPr>
      <t>直接生成推荐方案的线性规划与动态回归模型、算法研发</t>
    </r>
  </si>
  <si>
    <r>
      <rPr>
        <sz val="12"/>
        <color rgb="FF000000"/>
        <rFont val="仿宋"/>
        <charset val="134"/>
      </rPr>
      <t>按照投资估算生成推荐方案的多约束线性规划与动态回归模型、算法研发</t>
    </r>
  </si>
  <si>
    <r>
      <rPr>
        <sz val="12"/>
        <color rgb="FF000000"/>
        <rFont val="仿宋"/>
        <charset val="134"/>
      </rPr>
      <t>按照预设等级生成推荐方案的多约束线性规划与动态回归模型、算法研发</t>
    </r>
  </si>
  <si>
    <r>
      <rPr>
        <sz val="12"/>
        <color rgb="FF000000"/>
        <rFont val="仿宋"/>
        <charset val="134"/>
      </rPr>
      <t>方案比选低代码模型开发</t>
    </r>
  </si>
  <si>
    <r>
      <rPr>
        <sz val="12"/>
        <color rgb="FF000000"/>
        <rFont val="仿宋"/>
        <charset val="134"/>
      </rPr>
      <t>对现状分析报告中的初步建设方案，根据矿方反馈意见进行调整的汇算模块开发</t>
    </r>
  </si>
  <si>
    <r>
      <rPr>
        <sz val="12"/>
        <color rgb="FF000000"/>
        <rFont val="仿宋"/>
        <charset val="134"/>
      </rPr>
      <t>方案文档下载模块开发</t>
    </r>
  </si>
  <si>
    <r>
      <rPr>
        <sz val="12"/>
        <color rgb="FF000000"/>
        <rFont val="仿宋"/>
        <charset val="134"/>
      </rPr>
      <t>方案文档编辑与权限集成开发</t>
    </r>
  </si>
  <si>
    <r>
      <rPr>
        <sz val="12"/>
        <color rgb="FF000000"/>
        <rFont val="仿宋"/>
        <charset val="134"/>
      </rPr>
      <t>文档历史跟踪模型与算法研发</t>
    </r>
  </si>
  <si>
    <r>
      <rPr>
        <sz val="12"/>
        <color rgb="FF000000"/>
        <rFont val="仿宋"/>
        <charset val="134"/>
      </rPr>
      <t>历史修改内容比对的Myers 差分模与算法研发</t>
    </r>
  </si>
  <si>
    <r>
      <rPr>
        <sz val="12"/>
        <color rgb="FF000000"/>
        <rFont val="仿宋"/>
        <charset val="134"/>
      </rPr>
      <t>特定于终稿方案优化方案模版的 Diff Split 页面开发</t>
    </r>
  </si>
  <si>
    <r>
      <rPr>
        <sz val="12"/>
        <color rgb="FF000000"/>
        <rFont val="仿宋"/>
        <charset val="134"/>
      </rPr>
      <t>（五）</t>
    </r>
  </si>
  <si>
    <r>
      <rPr>
        <sz val="12"/>
        <color rgb="FF000000"/>
        <rFont val="仿宋"/>
        <charset val="134"/>
      </rPr>
      <t>身份鉴权模块开发</t>
    </r>
  </si>
  <si>
    <r>
      <rPr>
        <sz val="12"/>
        <color rgb="FF000000"/>
        <rFont val="仿宋"/>
        <charset val="134"/>
      </rPr>
      <t>用户身份与基础信息管理模块开发</t>
    </r>
  </si>
  <si>
    <r>
      <rPr>
        <sz val="12"/>
        <color rgb="FF000000"/>
        <rFont val="仿宋"/>
        <charset val="134"/>
      </rPr>
      <t>RBAC 角色与权限管理模块开发</t>
    </r>
  </si>
  <si>
    <r>
      <rPr>
        <sz val="12"/>
        <color rgb="FF000000"/>
        <rFont val="仿宋"/>
        <charset val="134"/>
      </rPr>
      <t>用户登录注销模块开发</t>
    </r>
  </si>
  <si>
    <r>
      <rPr>
        <sz val="12"/>
        <color rgb="FF000000"/>
        <rFont val="仿宋"/>
        <charset val="134"/>
      </rPr>
      <t>小计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</si>
</sst>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rgb="FF000000"/>
      <name val="仿宋"/>
      <charset val="134"/>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3" borderId="6" applyNumberFormat="0" applyAlignment="0" applyProtection="0">
      <alignment vertical="center"/>
    </xf>
    <xf numFmtId="0" fontId="13" fillId="4" borderId="7" applyNumberFormat="0" applyAlignment="0" applyProtection="0">
      <alignment vertical="center"/>
    </xf>
    <xf numFmtId="0" fontId="14" fillId="4" borderId="6" applyNumberFormat="0" applyAlignment="0" applyProtection="0">
      <alignment vertical="center"/>
    </xf>
    <xf numFmtId="0" fontId="15" fillId="5"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9">
    <xf numFmtId="0" fontId="0" fillId="0" borderId="0" xfId="0">
      <alignment vertical="center"/>
    </xf>
    <xf numFmtId="0" fontId="0" fillId="0" borderId="0" xfId="0"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left" vertical="center" wrapText="1"/>
    </xf>
    <xf numFmtId="0" fontId="0" fillId="0" borderId="1" xfId="0" applyBorder="1">
      <alignment vertical="center"/>
    </xf>
    <xf numFmtId="0" fontId="2" fillId="0" borderId="0" xfId="0" applyFont="1" applyFill="1">
      <alignment vertical="center"/>
    </xf>
    <xf numFmtId="0" fontId="3" fillId="0" borderId="0" xfId="0" applyFont="1" applyFill="1">
      <alignment vertical="center"/>
    </xf>
    <xf numFmtId="0" fontId="0" fillId="0" borderId="0" xfId="0" applyFill="1">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xf>
    <xf numFmtId="0" fontId="2" fillId="0" borderId="1" xfId="0" applyFont="1" applyFill="1" applyBorder="1" applyAlignment="1">
      <alignment horizontal="left" vertical="center"/>
    </xf>
    <xf numFmtId="0" fontId="2" fillId="0" borderId="1" xfId="0" applyFont="1" applyFill="1" applyBorder="1">
      <alignment vertical="center"/>
    </xf>
    <xf numFmtId="0" fontId="0" fillId="0" borderId="1" xfId="0" applyFill="1" applyBorder="1" applyAlignment="1">
      <alignment horizontal="center" vertical="center"/>
    </xf>
    <xf numFmtId="0" fontId="0" fillId="0" borderId="1" xfId="0" applyFill="1" applyBorder="1">
      <alignment vertical="center"/>
    </xf>
    <xf numFmtId="0" fontId="3" fillId="0" borderId="1" xfId="0" applyFont="1" applyFill="1" applyBorder="1" applyAlignment="1">
      <alignment horizontal="left" vertical="center"/>
    </xf>
    <xf numFmtId="0" fontId="3" fillId="0" borderId="1" xfId="0" applyFont="1" applyFill="1" applyBorder="1">
      <alignment vertical="center"/>
    </xf>
    <xf numFmtId="0" fontId="3" fillId="0" borderId="1" xfId="0" applyFont="1" applyFill="1" applyBorder="1" applyAlignment="1">
      <alignment horizontal="center" vertical="center"/>
    </xf>
    <xf numFmtId="0" fontId="0" fillId="0" borderId="1" xfId="0" applyFill="1" applyBorder="1" applyAlignment="1">
      <alignment horizontal="left" vertical="center" wrapText="1"/>
    </xf>
    <xf numFmtId="0" fontId="0" fillId="0" borderId="1" xfId="0" applyFont="1" applyBorder="1" applyAlignment="1">
      <alignment horizontal="center" vertical="center"/>
    </xf>
    <xf numFmtId="0" fontId="2" fillId="0" borderId="1" xfId="0" applyFont="1" applyFill="1" applyBorder="1" applyAlignment="1">
      <alignment vertical="center" wrapText="1"/>
    </xf>
    <xf numFmtId="0" fontId="0"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Fill="1" applyBorder="1" applyAlignment="1">
      <alignment vertical="center" wrapText="1"/>
    </xf>
    <xf numFmtId="0" fontId="0" fillId="0" borderId="2"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6"/>
  <sheetViews>
    <sheetView zoomScale="83" zoomScaleNormal="83" workbookViewId="0">
      <selection activeCell="B11" sqref="B11"/>
    </sheetView>
  </sheetViews>
  <sheetFormatPr defaultColWidth="9.225" defaultRowHeight="13.5"/>
  <cols>
    <col min="1" max="1" width="9.225" style="10"/>
    <col min="2" max="2" width="85.275" style="11" customWidth="1"/>
    <col min="3" max="3" width="17.5583333333333" customWidth="1"/>
    <col min="4" max="4" width="9.225" style="10"/>
    <col min="6" max="6" width="13.1083333333333" customWidth="1"/>
    <col min="7" max="7" width="11.4416666666667" customWidth="1"/>
    <col min="8" max="8" width="9.775"/>
    <col min="9" max="9" width="51.225" style="1" customWidth="1"/>
    <col min="11" max="11" width="35.7416666666667" customWidth="1"/>
    <col min="12" max="12" width="36.5" customWidth="1"/>
    <col min="13" max="13" width="54.325" customWidth="1"/>
    <col min="14" max="14" width="51.625" customWidth="1"/>
  </cols>
  <sheetData>
    <row r="1" ht="28.95" customHeight="1" spans="1:9">
      <c r="A1" s="12" t="s">
        <v>0</v>
      </c>
      <c r="B1" s="12" t="s">
        <v>1</v>
      </c>
      <c r="C1" s="12" t="s">
        <v>2</v>
      </c>
      <c r="D1" s="12" t="s">
        <v>3</v>
      </c>
      <c r="E1" s="12" t="s">
        <v>4</v>
      </c>
      <c r="F1" s="12"/>
      <c r="G1" s="12"/>
      <c r="H1" s="12"/>
      <c r="I1" s="13" t="s">
        <v>5</v>
      </c>
    </row>
    <row r="2" ht="27" spans="1:9">
      <c r="A2" s="12"/>
      <c r="B2" s="12"/>
      <c r="C2" s="12"/>
      <c r="D2" s="12"/>
      <c r="E2" s="12" t="s">
        <v>6</v>
      </c>
      <c r="F2" s="13" t="s">
        <v>7</v>
      </c>
      <c r="G2" s="13" t="s">
        <v>8</v>
      </c>
      <c r="H2" s="13" t="s">
        <v>9</v>
      </c>
      <c r="I2" s="13"/>
    </row>
    <row r="3" spans="1:9">
      <c r="A3" s="12" t="s">
        <v>10</v>
      </c>
      <c r="B3" s="14" t="s">
        <v>11</v>
      </c>
      <c r="C3" s="6"/>
      <c r="D3" s="12" t="s">
        <v>12</v>
      </c>
      <c r="E3" s="6">
        <f>SUM(E4+E10+E25+E40)</f>
        <v>34</v>
      </c>
      <c r="F3" s="6">
        <f>SUM(F4+F10+F25+F40)</f>
        <v>565</v>
      </c>
      <c r="G3" s="6">
        <v>1050</v>
      </c>
      <c r="H3" s="6">
        <f t="shared" ref="H3:H13" si="0">F3*G3</f>
        <v>593250</v>
      </c>
      <c r="I3" s="4"/>
    </row>
    <row r="4" spans="1:9">
      <c r="A4" s="12" t="s">
        <v>13</v>
      </c>
      <c r="B4" s="14" t="s">
        <v>14</v>
      </c>
      <c r="C4" s="6"/>
      <c r="D4" s="12" t="s">
        <v>12</v>
      </c>
      <c r="E4" s="6">
        <f>SUM(E5:E9)</f>
        <v>5</v>
      </c>
      <c r="F4" s="6">
        <f>SUM(F5:F9)</f>
        <v>65</v>
      </c>
      <c r="G4" s="6">
        <v>1050</v>
      </c>
      <c r="H4" s="6">
        <f t="shared" si="0"/>
        <v>68250</v>
      </c>
      <c r="I4" s="4"/>
    </row>
    <row r="5" spans="1:9">
      <c r="A5" s="12">
        <v>1</v>
      </c>
      <c r="B5" s="14" t="s">
        <v>15</v>
      </c>
      <c r="C5" s="6"/>
      <c r="D5" s="12" t="s">
        <v>12</v>
      </c>
      <c r="E5" s="6">
        <v>1</v>
      </c>
      <c r="F5" s="6">
        <v>5</v>
      </c>
      <c r="G5" s="6">
        <v>1050</v>
      </c>
      <c r="H5" s="6">
        <f t="shared" si="0"/>
        <v>5250</v>
      </c>
      <c r="I5" s="4"/>
    </row>
    <row r="6" spans="1:9">
      <c r="A6" s="12">
        <v>2</v>
      </c>
      <c r="B6" s="14" t="s">
        <v>16</v>
      </c>
      <c r="C6" s="6"/>
      <c r="D6" s="12" t="s">
        <v>12</v>
      </c>
      <c r="E6" s="6">
        <v>1</v>
      </c>
      <c r="F6" s="6">
        <v>5</v>
      </c>
      <c r="G6" s="6">
        <v>1050</v>
      </c>
      <c r="H6" s="6">
        <f t="shared" si="0"/>
        <v>5250</v>
      </c>
      <c r="I6" s="4" t="s">
        <v>17</v>
      </c>
    </row>
    <row r="7" s="7" customFormat="1" ht="33" customHeight="1" spans="1:9">
      <c r="A7" s="12">
        <v>3</v>
      </c>
      <c r="B7" s="15" t="s">
        <v>18</v>
      </c>
      <c r="C7" s="16"/>
      <c r="D7" s="17" t="s">
        <v>12</v>
      </c>
      <c r="E7" s="18">
        <v>1</v>
      </c>
      <c r="F7" s="16">
        <v>5</v>
      </c>
      <c r="G7" s="16">
        <v>1050</v>
      </c>
      <c r="H7" s="16">
        <f t="shared" si="0"/>
        <v>5250</v>
      </c>
      <c r="I7" s="24"/>
    </row>
    <row r="8" ht="40.5" spans="1:9">
      <c r="A8" s="12">
        <v>4</v>
      </c>
      <c r="B8" s="14" t="s">
        <v>19</v>
      </c>
      <c r="C8" s="6"/>
      <c r="D8" s="12" t="s">
        <v>12</v>
      </c>
      <c r="E8" s="6">
        <v>1</v>
      </c>
      <c r="F8" s="6">
        <v>20</v>
      </c>
      <c r="G8" s="6">
        <v>1050</v>
      </c>
      <c r="H8" s="6">
        <f t="shared" si="0"/>
        <v>21000</v>
      </c>
      <c r="I8" s="25" t="s">
        <v>20</v>
      </c>
    </row>
    <row r="9" ht="67.5" spans="1:9">
      <c r="A9" s="12">
        <v>5</v>
      </c>
      <c r="B9" s="14" t="s">
        <v>21</v>
      </c>
      <c r="C9" s="6"/>
      <c r="D9" s="12" t="s">
        <v>12</v>
      </c>
      <c r="E9" s="6">
        <v>1</v>
      </c>
      <c r="F9" s="6">
        <v>30</v>
      </c>
      <c r="G9" s="6">
        <v>1050</v>
      </c>
      <c r="H9" s="6">
        <f t="shared" si="0"/>
        <v>31500</v>
      </c>
      <c r="I9" s="25" t="s">
        <v>22</v>
      </c>
    </row>
    <row r="10" spans="1:9">
      <c r="A10" s="12" t="s">
        <v>23</v>
      </c>
      <c r="B10" s="14" t="s">
        <v>24</v>
      </c>
      <c r="C10" s="6"/>
      <c r="D10" s="12" t="s">
        <v>12</v>
      </c>
      <c r="E10" s="6">
        <f>SUM(E11:E24)</f>
        <v>14</v>
      </c>
      <c r="F10" s="6">
        <f>SUM(F11:F24)</f>
        <v>195</v>
      </c>
      <c r="G10" s="6">
        <v>1050</v>
      </c>
      <c r="H10" s="6">
        <f t="shared" si="0"/>
        <v>204750</v>
      </c>
      <c r="I10" s="4"/>
    </row>
    <row r="11" ht="40.5" spans="1:9">
      <c r="A11" s="12">
        <v>1</v>
      </c>
      <c r="B11" s="14" t="s">
        <v>25</v>
      </c>
      <c r="C11" s="6"/>
      <c r="D11" s="12" t="s">
        <v>12</v>
      </c>
      <c r="E11" s="6">
        <v>1</v>
      </c>
      <c r="F11" s="6">
        <v>5</v>
      </c>
      <c r="G11" s="6">
        <v>1050</v>
      </c>
      <c r="H11" s="6">
        <f t="shared" si="0"/>
        <v>5250</v>
      </c>
      <c r="I11" s="4" t="s">
        <v>26</v>
      </c>
    </row>
    <row r="12" ht="54" spans="1:9">
      <c r="A12" s="12">
        <v>2</v>
      </c>
      <c r="B12" s="14" t="s">
        <v>27</v>
      </c>
      <c r="C12" s="6"/>
      <c r="D12" s="12" t="s">
        <v>12</v>
      </c>
      <c r="E12" s="6">
        <v>1</v>
      </c>
      <c r="F12" s="6">
        <v>5</v>
      </c>
      <c r="G12" s="6">
        <v>1050</v>
      </c>
      <c r="H12" s="6">
        <f t="shared" si="0"/>
        <v>5250</v>
      </c>
      <c r="I12" s="4" t="s">
        <v>28</v>
      </c>
    </row>
    <row r="13" ht="79" customHeight="1" spans="1:9">
      <c r="A13" s="12">
        <v>3</v>
      </c>
      <c r="B13" s="14" t="s">
        <v>29</v>
      </c>
      <c r="C13" s="6"/>
      <c r="D13" s="12" t="s">
        <v>12</v>
      </c>
      <c r="E13" s="6">
        <v>1</v>
      </c>
      <c r="F13" s="6">
        <v>10</v>
      </c>
      <c r="G13" s="6">
        <v>1050</v>
      </c>
      <c r="H13" s="6">
        <f t="shared" si="0"/>
        <v>10500</v>
      </c>
      <c r="I13" s="26" t="s">
        <v>30</v>
      </c>
    </row>
    <row r="14" ht="74" customHeight="1" spans="1:9">
      <c r="A14" s="12">
        <v>4</v>
      </c>
      <c r="B14" s="14" t="s">
        <v>31</v>
      </c>
      <c r="C14" s="6"/>
      <c r="D14" s="12" t="s">
        <v>12</v>
      </c>
      <c r="E14" s="6">
        <v>1</v>
      </c>
      <c r="F14" s="6">
        <v>20</v>
      </c>
      <c r="G14" s="6">
        <v>1050</v>
      </c>
      <c r="H14" s="6">
        <f t="shared" ref="H14:H27" si="1">F14*G14</f>
        <v>21000</v>
      </c>
      <c r="I14" s="26" t="s">
        <v>32</v>
      </c>
    </row>
    <row r="15" ht="27" spans="1:9">
      <c r="A15" s="12">
        <v>5</v>
      </c>
      <c r="B15" s="14" t="s">
        <v>33</v>
      </c>
      <c r="C15" s="6"/>
      <c r="D15" s="12" t="s">
        <v>12</v>
      </c>
      <c r="E15" s="6">
        <v>1</v>
      </c>
      <c r="F15" s="6">
        <v>5</v>
      </c>
      <c r="G15" s="6">
        <v>1050</v>
      </c>
      <c r="H15" s="6">
        <f t="shared" si="1"/>
        <v>5250</v>
      </c>
      <c r="I15" s="4" t="s">
        <v>34</v>
      </c>
    </row>
    <row r="16" ht="27" spans="1:9">
      <c r="A16" s="12">
        <v>6</v>
      </c>
      <c r="B16" s="14" t="s">
        <v>35</v>
      </c>
      <c r="C16" s="6"/>
      <c r="D16" s="12" t="s">
        <v>12</v>
      </c>
      <c r="E16" s="6">
        <v>1</v>
      </c>
      <c r="F16" s="6">
        <v>10</v>
      </c>
      <c r="G16" s="6">
        <v>1050</v>
      </c>
      <c r="H16" s="6">
        <f t="shared" si="1"/>
        <v>10500</v>
      </c>
      <c r="I16" s="4" t="s">
        <v>36</v>
      </c>
    </row>
    <row r="17" ht="27" spans="1:9">
      <c r="A17" s="12">
        <v>7</v>
      </c>
      <c r="B17" s="14" t="s">
        <v>37</v>
      </c>
      <c r="C17" s="6"/>
      <c r="D17" s="12" t="s">
        <v>12</v>
      </c>
      <c r="E17" s="6">
        <v>1</v>
      </c>
      <c r="F17" s="6">
        <v>20</v>
      </c>
      <c r="G17" s="6">
        <v>1050</v>
      </c>
      <c r="H17" s="6">
        <f t="shared" si="1"/>
        <v>21000</v>
      </c>
      <c r="I17" s="4" t="s">
        <v>38</v>
      </c>
    </row>
    <row r="18" customFormat="1" ht="63" customHeight="1" spans="1:9">
      <c r="A18" s="12">
        <v>8</v>
      </c>
      <c r="B18" s="14" t="s">
        <v>39</v>
      </c>
      <c r="C18" s="6"/>
      <c r="D18" s="12" t="s">
        <v>12</v>
      </c>
      <c r="E18" s="6">
        <v>1</v>
      </c>
      <c r="F18" s="6">
        <v>20</v>
      </c>
      <c r="G18" s="6">
        <v>1050</v>
      </c>
      <c r="H18" s="6">
        <f t="shared" si="1"/>
        <v>21000</v>
      </c>
      <c r="I18" s="4" t="s">
        <v>40</v>
      </c>
    </row>
    <row r="19" ht="67.5" spans="1:9">
      <c r="A19" s="12">
        <v>9</v>
      </c>
      <c r="B19" s="14" t="s">
        <v>41</v>
      </c>
      <c r="C19" s="6"/>
      <c r="D19" s="12" t="s">
        <v>12</v>
      </c>
      <c r="E19" s="6">
        <v>1</v>
      </c>
      <c r="F19" s="6">
        <v>20</v>
      </c>
      <c r="G19" s="6">
        <v>1050</v>
      </c>
      <c r="H19" s="6">
        <f t="shared" si="1"/>
        <v>21000</v>
      </c>
      <c r="I19" s="4" t="s">
        <v>42</v>
      </c>
    </row>
    <row r="20" spans="1:9">
      <c r="A20" s="12">
        <v>10</v>
      </c>
      <c r="B20" s="14" t="s">
        <v>43</v>
      </c>
      <c r="C20" s="6"/>
      <c r="D20" s="12" t="s">
        <v>12</v>
      </c>
      <c r="E20" s="6">
        <v>1</v>
      </c>
      <c r="F20" s="6">
        <v>15</v>
      </c>
      <c r="G20" s="6">
        <v>1050</v>
      </c>
      <c r="H20" s="6">
        <f t="shared" si="1"/>
        <v>15750</v>
      </c>
      <c r="I20" s="4"/>
    </row>
    <row r="21" spans="1:9">
      <c r="A21" s="12">
        <v>11</v>
      </c>
      <c r="B21" s="14" t="s">
        <v>44</v>
      </c>
      <c r="C21" s="6"/>
      <c r="D21" s="12" t="s">
        <v>12</v>
      </c>
      <c r="E21" s="6">
        <v>1</v>
      </c>
      <c r="F21" s="6">
        <v>5</v>
      </c>
      <c r="G21" s="6">
        <v>1050</v>
      </c>
      <c r="H21" s="6">
        <f t="shared" si="1"/>
        <v>5250</v>
      </c>
      <c r="I21" s="4"/>
    </row>
    <row r="22" spans="1:9">
      <c r="A22" s="12">
        <v>12</v>
      </c>
      <c r="B22" s="14" t="s">
        <v>45</v>
      </c>
      <c r="C22" s="6"/>
      <c r="D22" s="12" t="s">
        <v>12</v>
      </c>
      <c r="E22" s="6">
        <v>1</v>
      </c>
      <c r="F22" s="6">
        <v>10</v>
      </c>
      <c r="G22" s="6">
        <v>1050</v>
      </c>
      <c r="H22" s="6">
        <f t="shared" si="1"/>
        <v>10500</v>
      </c>
      <c r="I22" s="4"/>
    </row>
    <row r="23" ht="27" spans="1:9">
      <c r="A23" s="12">
        <v>13</v>
      </c>
      <c r="B23" s="14" t="s">
        <v>46</v>
      </c>
      <c r="C23" s="6"/>
      <c r="D23" s="12" t="s">
        <v>12</v>
      </c>
      <c r="E23" s="6">
        <v>1</v>
      </c>
      <c r="F23" s="6">
        <v>30</v>
      </c>
      <c r="G23" s="6">
        <v>1050</v>
      </c>
      <c r="H23" s="6">
        <f t="shared" si="1"/>
        <v>31500</v>
      </c>
      <c r="I23" s="4" t="s">
        <v>47</v>
      </c>
    </row>
    <row r="24" customFormat="1" spans="1:9">
      <c r="A24" s="12">
        <v>14</v>
      </c>
      <c r="B24" s="14" t="s">
        <v>48</v>
      </c>
      <c r="C24" s="6"/>
      <c r="D24" s="12" t="s">
        <v>12</v>
      </c>
      <c r="E24" s="6">
        <v>1</v>
      </c>
      <c r="F24" s="6">
        <v>20</v>
      </c>
      <c r="G24" s="6">
        <v>1050</v>
      </c>
      <c r="H24" s="6">
        <f t="shared" si="1"/>
        <v>21000</v>
      </c>
      <c r="I24" s="4"/>
    </row>
    <row r="25" spans="1:9">
      <c r="A25" s="12" t="s">
        <v>49</v>
      </c>
      <c r="B25" s="14" t="s">
        <v>50</v>
      </c>
      <c r="C25" s="6"/>
      <c r="D25" s="12" t="s">
        <v>12</v>
      </c>
      <c r="E25" s="6">
        <f>SUM(E26:E39)</f>
        <v>14</v>
      </c>
      <c r="F25" s="6">
        <f>SUM(F26:F39)</f>
        <v>295</v>
      </c>
      <c r="G25" s="6">
        <v>1050</v>
      </c>
      <c r="H25" s="6">
        <f t="shared" si="1"/>
        <v>309750</v>
      </c>
      <c r="I25" s="4"/>
    </row>
    <row r="26" ht="54" spans="1:9">
      <c r="A26" s="12">
        <v>1</v>
      </c>
      <c r="B26" s="14" t="s">
        <v>51</v>
      </c>
      <c r="C26" s="6"/>
      <c r="D26" s="12" t="s">
        <v>12</v>
      </c>
      <c r="E26" s="6">
        <v>1</v>
      </c>
      <c r="F26" s="6">
        <v>10</v>
      </c>
      <c r="G26" s="6">
        <v>1050</v>
      </c>
      <c r="H26" s="6">
        <f t="shared" si="1"/>
        <v>10500</v>
      </c>
      <c r="I26" s="4" t="s">
        <v>52</v>
      </c>
    </row>
    <row r="27" spans="1:9">
      <c r="A27" s="12">
        <v>2</v>
      </c>
      <c r="B27" s="14" t="s">
        <v>53</v>
      </c>
      <c r="C27" s="6"/>
      <c r="D27" s="12" t="s">
        <v>12</v>
      </c>
      <c r="E27" s="6">
        <v>1</v>
      </c>
      <c r="F27" s="6">
        <v>10</v>
      </c>
      <c r="G27" s="6">
        <v>1050</v>
      </c>
      <c r="H27" s="6">
        <f t="shared" si="1"/>
        <v>10500</v>
      </c>
      <c r="I27" s="4" t="s">
        <v>54</v>
      </c>
    </row>
    <row r="28" ht="40.5" spans="1:9">
      <c r="A28" s="12">
        <v>3</v>
      </c>
      <c r="B28" s="14" t="s">
        <v>55</v>
      </c>
      <c r="C28" s="6"/>
      <c r="D28" s="12" t="s">
        <v>12</v>
      </c>
      <c r="E28" s="6">
        <v>1</v>
      </c>
      <c r="F28" s="6">
        <v>15</v>
      </c>
      <c r="G28" s="6">
        <v>1050</v>
      </c>
      <c r="H28" s="6">
        <f t="shared" ref="H28:H41" si="2">F28*G28</f>
        <v>15750</v>
      </c>
      <c r="I28" s="4" t="s">
        <v>56</v>
      </c>
    </row>
    <row r="29" customFormat="1" spans="1:9">
      <c r="A29" s="12">
        <v>4</v>
      </c>
      <c r="B29" s="14" t="s">
        <v>57</v>
      </c>
      <c r="C29" s="6"/>
      <c r="D29" s="12" t="s">
        <v>12</v>
      </c>
      <c r="E29" s="6">
        <v>1</v>
      </c>
      <c r="F29" s="6">
        <v>10</v>
      </c>
      <c r="G29" s="6">
        <v>1050</v>
      </c>
      <c r="H29" s="6">
        <f t="shared" si="2"/>
        <v>10500</v>
      </c>
      <c r="I29" s="4"/>
    </row>
    <row r="30" s="7" customFormat="1" ht="33" customHeight="1" spans="1:9">
      <c r="A30" s="12">
        <v>5</v>
      </c>
      <c r="B30" s="15" t="s">
        <v>58</v>
      </c>
      <c r="C30" s="16"/>
      <c r="D30" s="17" t="s">
        <v>12</v>
      </c>
      <c r="E30" s="18">
        <v>1</v>
      </c>
      <c r="F30" s="16">
        <v>5</v>
      </c>
      <c r="G30" s="16">
        <v>1050</v>
      </c>
      <c r="H30" s="16">
        <f t="shared" si="2"/>
        <v>5250</v>
      </c>
      <c r="I30" s="24"/>
    </row>
    <row r="31" s="8" customFormat="1" ht="40.5" spans="1:9">
      <c r="A31" s="12">
        <v>6</v>
      </c>
      <c r="B31" s="19" t="s">
        <v>59</v>
      </c>
      <c r="C31" s="20"/>
      <c r="D31" s="21" t="s">
        <v>12</v>
      </c>
      <c r="E31" s="20">
        <v>1</v>
      </c>
      <c r="F31" s="20">
        <v>5</v>
      </c>
      <c r="G31" s="20">
        <v>1050</v>
      </c>
      <c r="H31" s="20">
        <f t="shared" si="2"/>
        <v>5250</v>
      </c>
      <c r="I31" s="27" t="s">
        <v>60</v>
      </c>
    </row>
    <row r="32" s="7" customFormat="1" ht="108" spans="1:9">
      <c r="A32" s="12">
        <v>7</v>
      </c>
      <c r="B32" s="15" t="s">
        <v>61</v>
      </c>
      <c r="C32" s="16"/>
      <c r="D32" s="17" t="s">
        <v>12</v>
      </c>
      <c r="E32" s="18">
        <v>1</v>
      </c>
      <c r="F32" s="16">
        <v>15</v>
      </c>
      <c r="G32" s="16">
        <v>1050</v>
      </c>
      <c r="H32" s="16">
        <f t="shared" si="2"/>
        <v>15750</v>
      </c>
      <c r="I32" s="24" t="s">
        <v>62</v>
      </c>
    </row>
    <row r="33" s="7" customFormat="1" ht="54" spans="1:9">
      <c r="A33" s="12">
        <v>8</v>
      </c>
      <c r="B33" s="15" t="s">
        <v>63</v>
      </c>
      <c r="C33" s="16"/>
      <c r="D33" s="17" t="s">
        <v>12</v>
      </c>
      <c r="E33" s="18">
        <v>1</v>
      </c>
      <c r="F33" s="16">
        <v>20</v>
      </c>
      <c r="G33" s="16">
        <v>1050</v>
      </c>
      <c r="H33" s="16">
        <f t="shared" si="2"/>
        <v>21000</v>
      </c>
      <c r="I33" s="24" t="s">
        <v>64</v>
      </c>
    </row>
    <row r="34" s="9" customFormat="1" ht="73" customHeight="1" spans="1:9">
      <c r="A34" s="12">
        <v>9</v>
      </c>
      <c r="B34" s="22" t="s">
        <v>65</v>
      </c>
      <c r="C34" s="18"/>
      <c r="D34" s="17" t="s">
        <v>12</v>
      </c>
      <c r="E34" s="18">
        <v>1</v>
      </c>
      <c r="F34" s="18">
        <v>25</v>
      </c>
      <c r="G34" s="16">
        <v>1050</v>
      </c>
      <c r="H34" s="16">
        <f t="shared" si="2"/>
        <v>26250</v>
      </c>
      <c r="I34" s="28" t="s">
        <v>66</v>
      </c>
    </row>
    <row r="35" ht="67.5" spans="1:9">
      <c r="A35" s="12">
        <v>10</v>
      </c>
      <c r="B35" s="14" t="s">
        <v>67</v>
      </c>
      <c r="C35" s="6"/>
      <c r="D35" s="12" t="s">
        <v>12</v>
      </c>
      <c r="E35" s="6">
        <v>1</v>
      </c>
      <c r="F35" s="6">
        <v>20</v>
      </c>
      <c r="G35" s="6">
        <v>1050</v>
      </c>
      <c r="H35" s="6">
        <f t="shared" si="2"/>
        <v>21000</v>
      </c>
      <c r="I35" s="4" t="s">
        <v>68</v>
      </c>
    </row>
    <row r="36" ht="67.5" spans="1:9">
      <c r="A36" s="12">
        <v>11</v>
      </c>
      <c r="B36" s="14" t="s">
        <v>69</v>
      </c>
      <c r="C36" s="6"/>
      <c r="D36" s="12" t="s">
        <v>12</v>
      </c>
      <c r="E36" s="6">
        <v>1</v>
      </c>
      <c r="F36" s="6">
        <v>45</v>
      </c>
      <c r="G36" s="6">
        <v>1050</v>
      </c>
      <c r="H36" s="6">
        <f t="shared" si="2"/>
        <v>47250</v>
      </c>
      <c r="I36" s="4" t="s">
        <v>70</v>
      </c>
    </row>
    <row r="37" ht="54" spans="1:9">
      <c r="A37" s="12">
        <v>12</v>
      </c>
      <c r="B37" s="14" t="s">
        <v>71</v>
      </c>
      <c r="C37" s="6"/>
      <c r="D37" s="12" t="s">
        <v>12</v>
      </c>
      <c r="E37" s="6">
        <v>1</v>
      </c>
      <c r="F37" s="6">
        <v>45</v>
      </c>
      <c r="G37" s="6">
        <v>1050</v>
      </c>
      <c r="H37" s="6">
        <f t="shared" si="2"/>
        <v>47250</v>
      </c>
      <c r="I37" s="4" t="s">
        <v>72</v>
      </c>
    </row>
    <row r="38" ht="54" spans="1:9">
      <c r="A38" s="12">
        <v>13</v>
      </c>
      <c r="B38" s="14" t="s">
        <v>73</v>
      </c>
      <c r="C38" s="6"/>
      <c r="D38" s="12" t="s">
        <v>12</v>
      </c>
      <c r="E38" s="6">
        <v>1</v>
      </c>
      <c r="F38" s="6">
        <v>45</v>
      </c>
      <c r="G38" s="6">
        <v>1050</v>
      </c>
      <c r="H38" s="6">
        <f t="shared" si="2"/>
        <v>47250</v>
      </c>
      <c r="I38" s="4" t="s">
        <v>74</v>
      </c>
    </row>
    <row r="39" ht="37" customHeight="1" spans="1:9">
      <c r="A39" s="12">
        <v>14</v>
      </c>
      <c r="B39" s="14" t="s">
        <v>75</v>
      </c>
      <c r="C39" s="6"/>
      <c r="D39" s="12" t="s">
        <v>12</v>
      </c>
      <c r="E39" s="6">
        <v>1</v>
      </c>
      <c r="F39" s="6">
        <v>25</v>
      </c>
      <c r="G39" s="6">
        <v>1050</v>
      </c>
      <c r="H39" s="6">
        <f t="shared" si="2"/>
        <v>26250</v>
      </c>
      <c r="I39" s="4" t="s">
        <v>76</v>
      </c>
    </row>
    <row r="40" spans="1:9">
      <c r="A40" s="12" t="s">
        <v>77</v>
      </c>
      <c r="B40" s="14" t="s">
        <v>78</v>
      </c>
      <c r="C40" s="6"/>
      <c r="D40" s="12" t="s">
        <v>12</v>
      </c>
      <c r="E40" s="6">
        <f>SUM(E41:E41)</f>
        <v>1</v>
      </c>
      <c r="F40" s="6">
        <f>SUM(F41:F41)</f>
        <v>10</v>
      </c>
      <c r="G40" s="6">
        <v>1050</v>
      </c>
      <c r="H40" s="6">
        <f t="shared" si="2"/>
        <v>10500</v>
      </c>
      <c r="I40" s="4"/>
    </row>
    <row r="41" spans="1:9">
      <c r="A41" s="12">
        <v>1</v>
      </c>
      <c r="B41" s="14" t="s">
        <v>79</v>
      </c>
      <c r="C41" s="6"/>
      <c r="D41" s="12" t="s">
        <v>12</v>
      </c>
      <c r="E41" s="6">
        <v>1</v>
      </c>
      <c r="F41" s="6">
        <v>10</v>
      </c>
      <c r="G41" s="6">
        <v>1050</v>
      </c>
      <c r="H41" s="6">
        <f t="shared" si="2"/>
        <v>10500</v>
      </c>
      <c r="I41" s="4"/>
    </row>
    <row r="42" spans="1:9">
      <c r="A42" s="12"/>
      <c r="B42" s="14" t="s">
        <v>80</v>
      </c>
      <c r="C42" s="6"/>
      <c r="D42" s="12" t="s">
        <v>12</v>
      </c>
      <c r="E42" s="6">
        <f>E3</f>
        <v>34</v>
      </c>
      <c r="F42" s="6">
        <f>F3</f>
        <v>565</v>
      </c>
      <c r="G42" s="6">
        <v>1050</v>
      </c>
      <c r="H42" s="6">
        <f>H3</f>
        <v>593250</v>
      </c>
      <c r="I42" s="4"/>
    </row>
    <row r="43" spans="1:9">
      <c r="A43" s="12" t="s">
        <v>81</v>
      </c>
      <c r="B43" s="14" t="s">
        <v>82</v>
      </c>
      <c r="C43" s="6"/>
      <c r="D43" s="23" t="s">
        <v>12</v>
      </c>
      <c r="E43" s="6">
        <f>E44+E45</f>
        <v>6</v>
      </c>
      <c r="F43" s="6"/>
      <c r="G43" s="6"/>
      <c r="H43" s="6">
        <f>H44+H45</f>
        <v>18000</v>
      </c>
      <c r="I43" s="4"/>
    </row>
    <row r="44" spans="1:9">
      <c r="A44" s="12">
        <v>1</v>
      </c>
      <c r="B44" s="14" t="s">
        <v>83</v>
      </c>
      <c r="C44" s="6"/>
      <c r="D44" s="23" t="s">
        <v>12</v>
      </c>
      <c r="E44" s="6">
        <v>2</v>
      </c>
      <c r="F44" s="6"/>
      <c r="G44" s="6">
        <v>4000</v>
      </c>
      <c r="H44" s="6">
        <v>8000</v>
      </c>
      <c r="I44" s="25" t="s">
        <v>84</v>
      </c>
    </row>
    <row r="45" spans="1:9">
      <c r="A45" s="12">
        <v>2</v>
      </c>
      <c r="B45" s="14" t="s">
        <v>85</v>
      </c>
      <c r="C45" s="6"/>
      <c r="D45" s="23" t="s">
        <v>12</v>
      </c>
      <c r="E45" s="6">
        <v>4</v>
      </c>
      <c r="F45" s="6"/>
      <c r="G45" s="6">
        <v>2500</v>
      </c>
      <c r="H45" s="6">
        <v>10000</v>
      </c>
      <c r="I45" s="25" t="s">
        <v>86</v>
      </c>
    </row>
    <row r="46" spans="1:9">
      <c r="A46" s="12"/>
      <c r="B46" s="14" t="s">
        <v>87</v>
      </c>
      <c r="C46" s="6"/>
      <c r="D46" s="12"/>
      <c r="E46" s="6"/>
      <c r="F46" s="6"/>
      <c r="G46" s="6"/>
      <c r="H46" s="6">
        <f>SUM(H42+H44+H45)</f>
        <v>611250</v>
      </c>
      <c r="I46" s="4"/>
    </row>
  </sheetData>
  <mergeCells count="6">
    <mergeCell ref="E1:H1"/>
    <mergeCell ref="A1:A2"/>
    <mergeCell ref="B1:B2"/>
    <mergeCell ref="C1:C2"/>
    <mergeCell ref="D1:D2"/>
    <mergeCell ref="I1:I2"/>
  </mergeCells>
  <pageMargins left="0.75" right="0.75" top="1" bottom="1" header="0.5" footer="0.5"/>
  <pageSetup paperSize="9" orientation="portrait"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3"/>
  <sheetViews>
    <sheetView tabSelected="1" topLeftCell="A10" workbookViewId="0">
      <selection activeCell="E20" sqref="E20"/>
    </sheetView>
  </sheetViews>
  <sheetFormatPr defaultColWidth="9" defaultRowHeight="13.5"/>
  <cols>
    <col min="2" max="2" width="29.125" style="1" customWidth="1"/>
    <col min="7" max="7" width="9.375"/>
  </cols>
  <sheetData>
    <row r="1" ht="15.75" customHeight="1" spans="1:7">
      <c r="A1" s="2" t="s">
        <v>88</v>
      </c>
      <c r="B1" s="3" t="s">
        <v>89</v>
      </c>
      <c r="C1" s="2" t="s">
        <v>90</v>
      </c>
      <c r="D1" s="2" t="s">
        <v>91</v>
      </c>
      <c r="E1" s="2"/>
      <c r="F1" s="2"/>
      <c r="G1" s="2"/>
    </row>
    <row r="2" ht="42.75" spans="1:7">
      <c r="A2" s="2"/>
      <c r="B2" s="3"/>
      <c r="C2" s="2"/>
      <c r="D2" s="2" t="s">
        <v>6</v>
      </c>
      <c r="E2" s="3" t="s">
        <v>92</v>
      </c>
      <c r="F2" s="3" t="s">
        <v>93</v>
      </c>
      <c r="G2" s="4" t="s">
        <v>94</v>
      </c>
    </row>
    <row r="3" ht="14.25" spans="1:7">
      <c r="A3" s="2" t="s">
        <v>95</v>
      </c>
      <c r="B3" s="5" t="s">
        <v>96</v>
      </c>
      <c r="C3" s="2" t="s">
        <v>97</v>
      </c>
      <c r="D3" s="2">
        <f>D53</f>
        <v>44</v>
      </c>
      <c r="E3" s="2">
        <f>E53</f>
        <v>599</v>
      </c>
      <c r="F3" s="2"/>
      <c r="G3" s="2">
        <f>G53</f>
        <v>613620</v>
      </c>
    </row>
    <row r="4" ht="14.25" spans="1:7">
      <c r="A4" s="2" t="s">
        <v>98</v>
      </c>
      <c r="B4" s="5" t="s">
        <v>99</v>
      </c>
      <c r="C4" s="2" t="s">
        <v>97</v>
      </c>
      <c r="D4" s="2">
        <f>SUM(D5:D9)</f>
        <v>5</v>
      </c>
      <c r="E4" s="2">
        <f>SUM(E5:E9)</f>
        <v>73</v>
      </c>
      <c r="F4" s="2">
        <v>840</v>
      </c>
      <c r="G4" s="6">
        <f t="shared" ref="G4:G35" si="0">F4*E4</f>
        <v>61320</v>
      </c>
    </row>
    <row r="5" ht="14.25" spans="1:7">
      <c r="A5" s="2">
        <v>1</v>
      </c>
      <c r="B5" s="5" t="s">
        <v>100</v>
      </c>
      <c r="C5" s="2" t="s">
        <v>97</v>
      </c>
      <c r="D5" s="2">
        <v>1</v>
      </c>
      <c r="E5" s="2">
        <v>8</v>
      </c>
      <c r="F5" s="2">
        <v>840</v>
      </c>
      <c r="G5" s="6">
        <f t="shared" si="0"/>
        <v>6720</v>
      </c>
    </row>
    <row r="6" ht="28.5" spans="1:7">
      <c r="A6" s="2">
        <v>2</v>
      </c>
      <c r="B6" s="5" t="s">
        <v>101</v>
      </c>
      <c r="C6" s="2" t="s">
        <v>97</v>
      </c>
      <c r="D6" s="2">
        <v>1</v>
      </c>
      <c r="E6" s="2">
        <v>10</v>
      </c>
      <c r="F6" s="2">
        <v>840</v>
      </c>
      <c r="G6" s="6">
        <f t="shared" si="0"/>
        <v>8400</v>
      </c>
    </row>
    <row r="7" ht="28.5" spans="1:10">
      <c r="A7" s="2">
        <v>3</v>
      </c>
      <c r="B7" s="5" t="s">
        <v>102</v>
      </c>
      <c r="C7" s="2" t="s">
        <v>97</v>
      </c>
      <c r="D7" s="2">
        <v>1</v>
      </c>
      <c r="E7" s="2">
        <v>20</v>
      </c>
      <c r="F7" s="2">
        <v>840</v>
      </c>
      <c r="G7" s="6">
        <f t="shared" si="0"/>
        <v>16800</v>
      </c>
      <c r="J7">
        <f>1050*0.8</f>
        <v>840</v>
      </c>
    </row>
    <row r="8" ht="28.5" spans="1:7">
      <c r="A8" s="2">
        <v>4</v>
      </c>
      <c r="B8" s="5" t="s">
        <v>103</v>
      </c>
      <c r="C8" s="2" t="s">
        <v>97</v>
      </c>
      <c r="D8" s="2">
        <v>1</v>
      </c>
      <c r="E8" s="2">
        <v>15</v>
      </c>
      <c r="F8" s="2">
        <v>840</v>
      </c>
      <c r="G8" s="6">
        <f t="shared" si="0"/>
        <v>12600</v>
      </c>
    </row>
    <row r="9" ht="42.75" spans="1:7">
      <c r="A9" s="2">
        <v>5</v>
      </c>
      <c r="B9" s="5" t="s">
        <v>21</v>
      </c>
      <c r="C9" s="2" t="s">
        <v>97</v>
      </c>
      <c r="D9" s="2">
        <v>1</v>
      </c>
      <c r="E9" s="2">
        <v>20</v>
      </c>
      <c r="F9" s="2">
        <v>840</v>
      </c>
      <c r="G9" s="6">
        <f t="shared" si="0"/>
        <v>16800</v>
      </c>
    </row>
    <row r="10" ht="14.25" spans="1:7">
      <c r="A10" s="2" t="s">
        <v>104</v>
      </c>
      <c r="B10" s="5" t="s">
        <v>105</v>
      </c>
      <c r="C10" s="2" t="s">
        <v>97</v>
      </c>
      <c r="D10" s="2">
        <f>SUM(D11:D17)</f>
        <v>7</v>
      </c>
      <c r="E10" s="2">
        <f>SUM(E11:E17)</f>
        <v>70</v>
      </c>
      <c r="F10" s="2">
        <v>1050</v>
      </c>
      <c r="G10" s="6">
        <f t="shared" si="0"/>
        <v>73500</v>
      </c>
    </row>
    <row r="11" ht="14.25" spans="1:7">
      <c r="A11" s="2">
        <v>1</v>
      </c>
      <c r="B11" s="5" t="s">
        <v>106</v>
      </c>
      <c r="C11" s="2" t="s">
        <v>97</v>
      </c>
      <c r="D11" s="2">
        <v>1</v>
      </c>
      <c r="E11" s="2">
        <v>10</v>
      </c>
      <c r="F11" s="2">
        <v>1050</v>
      </c>
      <c r="G11" s="6">
        <f t="shared" si="0"/>
        <v>10500</v>
      </c>
    </row>
    <row r="12" ht="28.5" spans="1:7">
      <c r="A12" s="2">
        <v>2</v>
      </c>
      <c r="B12" s="5" t="s">
        <v>107</v>
      </c>
      <c r="C12" s="2" t="s">
        <v>97</v>
      </c>
      <c r="D12" s="2">
        <v>1</v>
      </c>
      <c r="E12" s="2">
        <v>5</v>
      </c>
      <c r="F12" s="2">
        <v>1050</v>
      </c>
      <c r="G12" s="6">
        <f t="shared" si="0"/>
        <v>5250</v>
      </c>
    </row>
    <row r="13" ht="42.75" spans="1:7">
      <c r="A13" s="2">
        <v>3</v>
      </c>
      <c r="B13" s="5" t="s">
        <v>108</v>
      </c>
      <c r="C13" s="2" t="s">
        <v>97</v>
      </c>
      <c r="D13" s="2">
        <v>1</v>
      </c>
      <c r="E13" s="2">
        <v>5</v>
      </c>
      <c r="F13" s="2">
        <v>1050</v>
      </c>
      <c r="G13" s="6">
        <f t="shared" si="0"/>
        <v>5250</v>
      </c>
    </row>
    <row r="14" ht="42.75" spans="1:7">
      <c r="A14" s="2">
        <v>4</v>
      </c>
      <c r="B14" s="5" t="s">
        <v>109</v>
      </c>
      <c r="C14" s="2" t="s">
        <v>97</v>
      </c>
      <c r="D14" s="2">
        <v>1</v>
      </c>
      <c r="E14" s="2">
        <v>10</v>
      </c>
      <c r="F14" s="2">
        <v>1050</v>
      </c>
      <c r="G14" s="6">
        <f t="shared" si="0"/>
        <v>10500</v>
      </c>
    </row>
    <row r="15" ht="42.75" spans="1:7">
      <c r="A15" s="2">
        <v>5</v>
      </c>
      <c r="B15" s="5" t="s">
        <v>110</v>
      </c>
      <c r="C15" s="2" t="s">
        <v>97</v>
      </c>
      <c r="D15" s="2">
        <v>1</v>
      </c>
      <c r="E15" s="2">
        <v>10</v>
      </c>
      <c r="F15" s="2">
        <v>1050</v>
      </c>
      <c r="G15" s="6">
        <f t="shared" si="0"/>
        <v>10500</v>
      </c>
    </row>
    <row r="16" ht="14.25" spans="1:7">
      <c r="A16" s="2">
        <v>6</v>
      </c>
      <c r="B16" s="5" t="s">
        <v>111</v>
      </c>
      <c r="C16" s="2" t="s">
        <v>97</v>
      </c>
      <c r="D16" s="2">
        <v>1</v>
      </c>
      <c r="E16" s="2">
        <v>10</v>
      </c>
      <c r="F16" s="2">
        <v>1050</v>
      </c>
      <c r="G16" s="6">
        <f t="shared" si="0"/>
        <v>10500</v>
      </c>
    </row>
    <row r="17" ht="14.25" spans="1:7">
      <c r="A17" s="2">
        <v>7</v>
      </c>
      <c r="B17" s="5" t="s">
        <v>112</v>
      </c>
      <c r="C17" s="2" t="s">
        <v>97</v>
      </c>
      <c r="D17" s="2">
        <v>1</v>
      </c>
      <c r="E17" s="2">
        <v>20</v>
      </c>
      <c r="F17" s="2">
        <v>1050</v>
      </c>
      <c r="G17" s="6">
        <f t="shared" si="0"/>
        <v>21000</v>
      </c>
    </row>
    <row r="18" ht="14.25" spans="1:7">
      <c r="A18" s="2" t="s">
        <v>113</v>
      </c>
      <c r="B18" s="5" t="s">
        <v>114</v>
      </c>
      <c r="C18" s="2" t="s">
        <v>97</v>
      </c>
      <c r="D18" s="2">
        <f>SUM(D19:D28)</f>
        <v>10</v>
      </c>
      <c r="E18" s="2">
        <f>SUM(E19:E28)</f>
        <v>162</v>
      </c>
      <c r="F18" s="2">
        <v>1050</v>
      </c>
      <c r="G18" s="6">
        <f t="shared" si="0"/>
        <v>170100</v>
      </c>
    </row>
    <row r="19" ht="14.25" spans="1:7">
      <c r="A19" s="2">
        <v>1</v>
      </c>
      <c r="B19" s="5" t="s">
        <v>115</v>
      </c>
      <c r="C19" s="2" t="s">
        <v>97</v>
      </c>
      <c r="D19" s="2">
        <v>1</v>
      </c>
      <c r="E19" s="2">
        <v>10</v>
      </c>
      <c r="F19" s="2">
        <v>1050</v>
      </c>
      <c r="G19" s="6">
        <f t="shared" si="0"/>
        <v>10500</v>
      </c>
    </row>
    <row r="20" ht="28.5" spans="1:7">
      <c r="A20" s="2">
        <v>2</v>
      </c>
      <c r="B20" s="5" t="s">
        <v>116</v>
      </c>
      <c r="C20" s="2" t="s">
        <v>97</v>
      </c>
      <c r="D20" s="2">
        <v>1</v>
      </c>
      <c r="E20" s="2">
        <v>12</v>
      </c>
      <c r="F20" s="2">
        <v>1050</v>
      </c>
      <c r="G20" s="6">
        <f t="shared" si="0"/>
        <v>12600</v>
      </c>
    </row>
    <row r="21" ht="14.25" spans="1:7">
      <c r="A21" s="2">
        <v>3</v>
      </c>
      <c r="B21" s="5" t="s">
        <v>117</v>
      </c>
      <c r="C21" s="2" t="s">
        <v>97</v>
      </c>
      <c r="D21" s="2">
        <v>1</v>
      </c>
      <c r="E21" s="2">
        <v>10</v>
      </c>
      <c r="F21" s="2">
        <v>1050</v>
      </c>
      <c r="G21" s="6">
        <f t="shared" si="0"/>
        <v>10500</v>
      </c>
    </row>
    <row r="22" ht="28.5" spans="1:7">
      <c r="A22" s="2">
        <v>4</v>
      </c>
      <c r="B22" s="5" t="s">
        <v>118</v>
      </c>
      <c r="C22" s="2" t="s">
        <v>97</v>
      </c>
      <c r="D22" s="2">
        <v>1</v>
      </c>
      <c r="E22" s="2">
        <v>25</v>
      </c>
      <c r="F22" s="2">
        <v>1050</v>
      </c>
      <c r="G22" s="6">
        <f t="shared" si="0"/>
        <v>26250</v>
      </c>
    </row>
    <row r="23" ht="28.5" spans="1:7">
      <c r="A23" s="2">
        <v>5</v>
      </c>
      <c r="B23" s="5" t="s">
        <v>119</v>
      </c>
      <c r="C23" s="2" t="s">
        <v>97</v>
      </c>
      <c r="D23" s="2">
        <v>1</v>
      </c>
      <c r="E23" s="2">
        <v>20</v>
      </c>
      <c r="F23" s="2">
        <v>1050</v>
      </c>
      <c r="G23" s="6">
        <f t="shared" si="0"/>
        <v>21000</v>
      </c>
    </row>
    <row r="24" ht="28.5" spans="1:7">
      <c r="A24" s="2">
        <v>6</v>
      </c>
      <c r="B24" s="5" t="s">
        <v>120</v>
      </c>
      <c r="C24" s="2" t="s">
        <v>97</v>
      </c>
      <c r="D24" s="2">
        <v>1</v>
      </c>
      <c r="E24" s="2">
        <v>5</v>
      </c>
      <c r="F24" s="2">
        <v>1050</v>
      </c>
      <c r="G24" s="6">
        <f t="shared" si="0"/>
        <v>5250</v>
      </c>
    </row>
    <row r="25" ht="42.75" spans="1:7">
      <c r="A25" s="2">
        <v>7</v>
      </c>
      <c r="B25" s="5" t="s">
        <v>121</v>
      </c>
      <c r="C25" s="2" t="s">
        <v>97</v>
      </c>
      <c r="D25" s="2">
        <v>1</v>
      </c>
      <c r="E25" s="2">
        <v>15</v>
      </c>
      <c r="F25" s="2">
        <v>1050</v>
      </c>
      <c r="G25" s="6">
        <f t="shared" si="0"/>
        <v>15750</v>
      </c>
    </row>
    <row r="26" ht="42.75" spans="1:7">
      <c r="A26" s="2">
        <v>8</v>
      </c>
      <c r="B26" s="5" t="s">
        <v>122</v>
      </c>
      <c r="C26" s="2" t="s">
        <v>97</v>
      </c>
      <c r="D26" s="2">
        <v>1</v>
      </c>
      <c r="E26" s="2">
        <v>25</v>
      </c>
      <c r="F26" s="2">
        <v>1050</v>
      </c>
      <c r="G26" s="6">
        <f t="shared" si="0"/>
        <v>26250</v>
      </c>
    </row>
    <row r="27" ht="42.75" spans="1:7">
      <c r="A27" s="2">
        <v>9</v>
      </c>
      <c r="B27" s="5" t="s">
        <v>123</v>
      </c>
      <c r="C27" s="2" t="s">
        <v>97</v>
      </c>
      <c r="D27" s="2">
        <v>1</v>
      </c>
      <c r="E27" s="2">
        <v>20</v>
      </c>
      <c r="F27" s="2">
        <v>1050</v>
      </c>
      <c r="G27" s="6">
        <f t="shared" si="0"/>
        <v>21000</v>
      </c>
    </row>
    <row r="28" ht="28.5" spans="1:7">
      <c r="A28" s="2">
        <v>10</v>
      </c>
      <c r="B28" s="5" t="s">
        <v>124</v>
      </c>
      <c r="C28" s="2" t="s">
        <v>97</v>
      </c>
      <c r="D28" s="2">
        <v>1</v>
      </c>
      <c r="E28" s="2">
        <v>20</v>
      </c>
      <c r="F28" s="2">
        <v>1050</v>
      </c>
      <c r="G28" s="6">
        <f t="shared" si="0"/>
        <v>21000</v>
      </c>
    </row>
    <row r="29" ht="14.25" spans="1:7">
      <c r="A29" s="2" t="s">
        <v>125</v>
      </c>
      <c r="B29" s="5" t="s">
        <v>126</v>
      </c>
      <c r="C29" s="2" t="s">
        <v>97</v>
      </c>
      <c r="D29" s="2">
        <f>SUM(D30:D48)</f>
        <v>19</v>
      </c>
      <c r="E29" s="2">
        <f>SUM(E30:E48)</f>
        <v>267</v>
      </c>
      <c r="F29" s="2">
        <v>1050</v>
      </c>
      <c r="G29" s="6">
        <f t="shared" si="0"/>
        <v>280350</v>
      </c>
    </row>
    <row r="30" ht="14.25" spans="1:7">
      <c r="A30" s="2">
        <v>1</v>
      </c>
      <c r="B30" s="5" t="s">
        <v>127</v>
      </c>
      <c r="C30" s="2" t="s">
        <v>97</v>
      </c>
      <c r="D30" s="2">
        <v>1</v>
      </c>
      <c r="E30" s="2">
        <v>4</v>
      </c>
      <c r="F30" s="2">
        <v>1050</v>
      </c>
      <c r="G30" s="6">
        <f t="shared" si="0"/>
        <v>4200</v>
      </c>
    </row>
    <row r="31" ht="28.5" spans="1:7">
      <c r="A31" s="2">
        <v>2</v>
      </c>
      <c r="B31" s="5" t="s">
        <v>128</v>
      </c>
      <c r="C31" s="2" t="s">
        <v>97</v>
      </c>
      <c r="D31" s="2">
        <v>1</v>
      </c>
      <c r="E31" s="2">
        <v>9</v>
      </c>
      <c r="F31" s="2">
        <v>1050</v>
      </c>
      <c r="G31" s="6">
        <f t="shared" si="0"/>
        <v>9450</v>
      </c>
    </row>
    <row r="32" ht="28.5" spans="1:7">
      <c r="A32" s="2">
        <v>3</v>
      </c>
      <c r="B32" s="5" t="s">
        <v>129</v>
      </c>
      <c r="C32" s="2" t="s">
        <v>97</v>
      </c>
      <c r="D32" s="2">
        <v>1</v>
      </c>
      <c r="E32" s="2">
        <v>9</v>
      </c>
      <c r="F32" s="2">
        <v>1050</v>
      </c>
      <c r="G32" s="6">
        <f t="shared" si="0"/>
        <v>9450</v>
      </c>
    </row>
    <row r="33" ht="28.5" spans="1:7">
      <c r="A33" s="2">
        <v>4</v>
      </c>
      <c r="B33" s="5" t="s">
        <v>130</v>
      </c>
      <c r="C33" s="2" t="s">
        <v>97</v>
      </c>
      <c r="D33" s="2">
        <v>1</v>
      </c>
      <c r="E33" s="2">
        <v>9</v>
      </c>
      <c r="F33" s="2">
        <v>1050</v>
      </c>
      <c r="G33" s="6">
        <f t="shared" si="0"/>
        <v>9450</v>
      </c>
    </row>
    <row r="34" ht="14.25" spans="1:7">
      <c r="A34" s="2">
        <v>6</v>
      </c>
      <c r="B34" s="5" t="s">
        <v>131</v>
      </c>
      <c r="C34" s="2" t="s">
        <v>97</v>
      </c>
      <c r="D34" s="2">
        <v>1</v>
      </c>
      <c r="E34" s="2">
        <v>17</v>
      </c>
      <c r="F34" s="2">
        <v>1050</v>
      </c>
      <c r="G34" s="6">
        <f t="shared" si="0"/>
        <v>17850</v>
      </c>
    </row>
    <row r="35" ht="14.25" spans="1:7">
      <c r="A35" s="2">
        <v>7</v>
      </c>
      <c r="B35" s="5" t="s">
        <v>132</v>
      </c>
      <c r="C35" s="2" t="s">
        <v>97</v>
      </c>
      <c r="D35" s="2">
        <v>1</v>
      </c>
      <c r="E35" s="2">
        <v>19</v>
      </c>
      <c r="F35" s="2">
        <v>1050</v>
      </c>
      <c r="G35" s="6">
        <f t="shared" si="0"/>
        <v>19950</v>
      </c>
    </row>
    <row r="36" ht="71.25" spans="1:7">
      <c r="A36" s="2">
        <v>8</v>
      </c>
      <c r="B36" s="5" t="s">
        <v>133</v>
      </c>
      <c r="C36" s="2" t="s">
        <v>97</v>
      </c>
      <c r="D36" s="2">
        <v>1</v>
      </c>
      <c r="E36" s="2">
        <v>19</v>
      </c>
      <c r="F36" s="2">
        <v>1050</v>
      </c>
      <c r="G36" s="6">
        <f t="shared" ref="G36:G53" si="1">F36*E36</f>
        <v>19950</v>
      </c>
    </row>
    <row r="37" ht="28.5" spans="1:7">
      <c r="A37" s="2">
        <v>9</v>
      </c>
      <c r="B37" s="5" t="s">
        <v>134</v>
      </c>
      <c r="C37" s="2" t="s">
        <v>97</v>
      </c>
      <c r="D37" s="2">
        <v>1</v>
      </c>
      <c r="E37" s="2">
        <v>19</v>
      </c>
      <c r="F37" s="2">
        <v>1050</v>
      </c>
      <c r="G37" s="6">
        <f t="shared" si="1"/>
        <v>19950</v>
      </c>
    </row>
    <row r="38" ht="14.25" spans="1:7">
      <c r="A38" s="2">
        <v>11</v>
      </c>
      <c r="B38" s="5" t="s">
        <v>135</v>
      </c>
      <c r="C38" s="2" t="s">
        <v>97</v>
      </c>
      <c r="D38" s="2">
        <v>1</v>
      </c>
      <c r="E38" s="2">
        <v>2</v>
      </c>
      <c r="F38" s="2">
        <v>1050</v>
      </c>
      <c r="G38" s="6">
        <f t="shared" si="1"/>
        <v>2100</v>
      </c>
    </row>
    <row r="39" ht="28.5" spans="1:7">
      <c r="A39" s="2">
        <v>12</v>
      </c>
      <c r="B39" s="5" t="s">
        <v>136</v>
      </c>
      <c r="C39" s="2" t="s">
        <v>97</v>
      </c>
      <c r="D39" s="2">
        <v>1</v>
      </c>
      <c r="E39" s="2">
        <v>24</v>
      </c>
      <c r="F39" s="2">
        <v>1050</v>
      </c>
      <c r="G39" s="6">
        <f t="shared" si="1"/>
        <v>25200</v>
      </c>
    </row>
    <row r="40" ht="42.75" spans="1:7">
      <c r="A40" s="2">
        <v>13</v>
      </c>
      <c r="B40" s="5" t="s">
        <v>137</v>
      </c>
      <c r="C40" s="2" t="s">
        <v>97</v>
      </c>
      <c r="D40" s="2">
        <v>1</v>
      </c>
      <c r="E40" s="2">
        <v>24</v>
      </c>
      <c r="F40" s="2">
        <v>1050</v>
      </c>
      <c r="G40" s="6">
        <f t="shared" si="1"/>
        <v>25200</v>
      </c>
    </row>
    <row r="41" ht="42.75" spans="1:7">
      <c r="A41" s="2">
        <v>14</v>
      </c>
      <c r="B41" s="5" t="s">
        <v>138</v>
      </c>
      <c r="C41" s="2" t="s">
        <v>97</v>
      </c>
      <c r="D41" s="2">
        <v>1</v>
      </c>
      <c r="E41" s="2">
        <v>24</v>
      </c>
      <c r="F41" s="2">
        <v>1050</v>
      </c>
      <c r="G41" s="6">
        <f t="shared" si="1"/>
        <v>25200</v>
      </c>
    </row>
    <row r="42" ht="14.25" spans="1:7">
      <c r="A42" s="2">
        <v>15</v>
      </c>
      <c r="B42" s="5" t="s">
        <v>139</v>
      </c>
      <c r="C42" s="2" t="s">
        <v>97</v>
      </c>
      <c r="D42" s="2">
        <v>1</v>
      </c>
      <c r="E42" s="2">
        <v>19</v>
      </c>
      <c r="F42" s="2">
        <v>1050</v>
      </c>
      <c r="G42" s="6">
        <f t="shared" si="1"/>
        <v>19950</v>
      </c>
    </row>
    <row r="43" ht="42.75" spans="1:7">
      <c r="A43" s="2">
        <v>16</v>
      </c>
      <c r="B43" s="5" t="s">
        <v>140</v>
      </c>
      <c r="C43" s="2" t="s">
        <v>97</v>
      </c>
      <c r="D43" s="2">
        <v>1</v>
      </c>
      <c r="E43" s="2">
        <v>14</v>
      </c>
      <c r="F43" s="2">
        <v>1050</v>
      </c>
      <c r="G43" s="6">
        <f t="shared" si="1"/>
        <v>14700</v>
      </c>
    </row>
    <row r="44" ht="14.25" spans="1:7">
      <c r="A44" s="2">
        <v>17</v>
      </c>
      <c r="B44" s="5" t="s">
        <v>141</v>
      </c>
      <c r="C44" s="2" t="s">
        <v>97</v>
      </c>
      <c r="D44" s="2">
        <v>1</v>
      </c>
      <c r="E44" s="2">
        <v>4</v>
      </c>
      <c r="F44" s="2">
        <v>1050</v>
      </c>
      <c r="G44" s="6">
        <f t="shared" si="1"/>
        <v>4200</v>
      </c>
    </row>
    <row r="45" ht="14.25" spans="1:7">
      <c r="A45" s="2">
        <v>18</v>
      </c>
      <c r="B45" s="5" t="s">
        <v>142</v>
      </c>
      <c r="C45" s="2" t="s">
        <v>97</v>
      </c>
      <c r="D45" s="2">
        <v>1</v>
      </c>
      <c r="E45" s="2">
        <v>4</v>
      </c>
      <c r="F45" s="2">
        <v>1050</v>
      </c>
      <c r="G45" s="6">
        <f t="shared" si="1"/>
        <v>4200</v>
      </c>
    </row>
    <row r="46" ht="14.25" spans="1:7">
      <c r="A46" s="2">
        <v>19</v>
      </c>
      <c r="B46" s="5" t="s">
        <v>143</v>
      </c>
      <c r="C46" s="2" t="s">
        <v>97</v>
      </c>
      <c r="D46" s="2">
        <v>1</v>
      </c>
      <c r="E46" s="2">
        <v>14</v>
      </c>
      <c r="F46" s="2">
        <v>1050</v>
      </c>
      <c r="G46" s="6">
        <f t="shared" si="1"/>
        <v>14700</v>
      </c>
    </row>
    <row r="47" ht="28.5" spans="1:7">
      <c r="A47" s="2">
        <v>20</v>
      </c>
      <c r="B47" s="5" t="s">
        <v>144</v>
      </c>
      <c r="C47" s="2" t="s">
        <v>97</v>
      </c>
      <c r="D47" s="2">
        <v>1</v>
      </c>
      <c r="E47" s="2">
        <v>14</v>
      </c>
      <c r="F47" s="2">
        <v>1050</v>
      </c>
      <c r="G47" s="6">
        <f t="shared" si="1"/>
        <v>14700</v>
      </c>
    </row>
    <row r="48" ht="28.5" spans="1:7">
      <c r="A48" s="2">
        <v>21</v>
      </c>
      <c r="B48" s="5" t="s">
        <v>145</v>
      </c>
      <c r="C48" s="2" t="s">
        <v>97</v>
      </c>
      <c r="D48" s="2">
        <v>1</v>
      </c>
      <c r="E48" s="2">
        <v>19</v>
      </c>
      <c r="F48" s="2">
        <v>1050</v>
      </c>
      <c r="G48" s="6">
        <f t="shared" si="1"/>
        <v>19950</v>
      </c>
    </row>
    <row r="49" ht="14.25" spans="1:7">
      <c r="A49" s="2" t="s">
        <v>146</v>
      </c>
      <c r="B49" s="5" t="s">
        <v>147</v>
      </c>
      <c r="C49" s="2" t="s">
        <v>97</v>
      </c>
      <c r="D49" s="2">
        <f>SUM(D50:D52)</f>
        <v>3</v>
      </c>
      <c r="E49" s="2">
        <f>SUM(E50:E52)</f>
        <v>27</v>
      </c>
      <c r="F49" s="2">
        <v>1050</v>
      </c>
      <c r="G49" s="6">
        <f t="shared" si="1"/>
        <v>28350</v>
      </c>
    </row>
    <row r="50" ht="28.5" spans="1:7">
      <c r="A50" s="2">
        <v>1</v>
      </c>
      <c r="B50" s="5" t="s">
        <v>148</v>
      </c>
      <c r="C50" s="2" t="s">
        <v>97</v>
      </c>
      <c r="D50" s="2">
        <v>1</v>
      </c>
      <c r="E50" s="2">
        <v>9</v>
      </c>
      <c r="F50" s="2">
        <v>1050</v>
      </c>
      <c r="G50" s="6">
        <f t="shared" si="1"/>
        <v>9450</v>
      </c>
    </row>
    <row r="51" ht="14.25" spans="1:7">
      <c r="A51" s="2">
        <v>2</v>
      </c>
      <c r="B51" s="5" t="s">
        <v>149</v>
      </c>
      <c r="C51" s="2" t="s">
        <v>97</v>
      </c>
      <c r="D51" s="2">
        <v>1</v>
      </c>
      <c r="E51" s="2">
        <v>9</v>
      </c>
      <c r="F51" s="2">
        <v>1050</v>
      </c>
      <c r="G51" s="6">
        <f t="shared" si="1"/>
        <v>9450</v>
      </c>
    </row>
    <row r="52" ht="14.25" spans="1:7">
      <c r="A52" s="2">
        <v>3</v>
      </c>
      <c r="B52" s="5" t="s">
        <v>150</v>
      </c>
      <c r="C52" s="2" t="s">
        <v>97</v>
      </c>
      <c r="D52" s="2">
        <v>1</v>
      </c>
      <c r="E52" s="2">
        <v>9</v>
      </c>
      <c r="F52" s="2">
        <v>1050</v>
      </c>
      <c r="G52" s="6">
        <f t="shared" si="1"/>
        <v>9450</v>
      </c>
    </row>
    <row r="53" ht="14.25" spans="1:7">
      <c r="A53" s="2"/>
      <c r="B53" s="5" t="s">
        <v>151</v>
      </c>
      <c r="C53" s="2" t="s">
        <v>97</v>
      </c>
      <c r="D53" s="6">
        <f>D49+D29+D18+D10+D4</f>
        <v>44</v>
      </c>
      <c r="E53" s="6">
        <f>E49+E29+E18+E10+E4</f>
        <v>599</v>
      </c>
      <c r="F53" s="6"/>
      <c r="G53" s="6">
        <f>G49+G29+G18+G10+G4</f>
        <v>613620</v>
      </c>
    </row>
  </sheetData>
  <mergeCells count="1">
    <mergeCell ref="D1:G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hpf</dc:creator>
  <cp:lastModifiedBy>李京泽</cp:lastModifiedBy>
  <dcterms:created xsi:type="dcterms:W3CDTF">2024-03-01T02:09:00Z</dcterms:created>
  <dcterms:modified xsi:type="dcterms:W3CDTF">2024-08-13T10:29:37Z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A5AB94F9114C84EA9C90E66553FF5447_43</vt:lpwstr>
  </property>
  <property fmtid="{D5CDD505-2E9C-101B-9397-08002B2CF9AE}" pid="3" name="KSOProductBuildVer">
    <vt:lpwstr>2052-12.1.0.17827</vt:lpwstr>
  </property>
</Properties>
</file>